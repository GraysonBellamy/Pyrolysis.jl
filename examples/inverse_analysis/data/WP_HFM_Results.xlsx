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nfp-my.sharepoint.com/personal/mark_mckinnon_ul_org/Documents/Documents/MaCFP_White_Pine/01_Raw_Data/White_Pine/"/>
    </mc:Choice>
  </mc:AlternateContent>
  <xr:revisionPtr revIDLastSave="0" documentId="8_{915C7A6C-EEBD-454A-A612-29344818C294}" xr6:coauthVersionLast="47" xr6:coauthVersionMax="47" xr10:uidLastSave="{00000000-0000-0000-0000-000000000000}"/>
  <bookViews>
    <workbookView xWindow="-105" yWindow="-16200" windowWidth="15900" windowHeight="15585" xr2:uid="{AB547A95-60D6-46D2-8DDC-22958CB70CE3}"/>
  </bookViews>
  <sheets>
    <sheet name="HFM_Resul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4" i="2"/>
  <c r="E4" i="2"/>
  <c r="G3" i="2"/>
  <c r="F3" i="2"/>
  <c r="E3" i="2"/>
  <c r="G2" i="2"/>
  <c r="F2" i="2"/>
  <c r="E2" i="2"/>
  <c r="G7" i="2"/>
  <c r="F7" i="2"/>
  <c r="E7" i="2"/>
  <c r="G6" i="2"/>
  <c r="F6" i="2"/>
  <c r="E6" i="2"/>
  <c r="G5" i="2"/>
  <c r="F5" i="2"/>
  <c r="E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Stapko, John</author>
  </authors>
  <commentList>
    <comment ref="B6" authorId="0" shapeId="0" xr:uid="{E050C1FB-2A56-4E43-977D-8A3E189AC3FF}">
      <text>
        <r>
          <rPr>
            <b/>
            <sz val="9"/>
            <color indexed="81"/>
            <rFont val="Tahoma"/>
            <charset val="1"/>
          </rPr>
          <t>Stapko, John:</t>
        </r>
        <r>
          <rPr>
            <sz val="9"/>
            <color indexed="81"/>
            <rFont val="Tahoma"/>
            <charset val="1"/>
          </rPr>
          <t xml:space="preserve">
+/- 0.01 G.</t>
        </r>
      </text>
    </comment>
    <comment ref="B11" authorId="0" shapeId="0" xr:uid="{E9E2B114-3467-457F-BFFE-701DFDA71AB6}">
      <text>
        <r>
          <rPr>
            <b/>
            <sz val="9"/>
            <color indexed="81"/>
            <rFont val="Tahoma"/>
            <charset val="1"/>
          </rPr>
          <t>Stapko, John:</t>
        </r>
        <r>
          <rPr>
            <sz val="9"/>
            <color indexed="81"/>
            <rFont val="Tahoma"/>
            <charset val="1"/>
          </rPr>
          <t xml:space="preserve">
+/- 0.02 G.  Scale oscillated over range.</t>
        </r>
      </text>
    </comment>
  </commentList>
</comments>
</file>

<file path=xl/sharedStrings.xml><?xml version="1.0" encoding="utf-8"?>
<sst xmlns="http://schemas.openxmlformats.org/spreadsheetml/2006/main" count="21" uniqueCount="21">
  <si>
    <t>133_White_Pine_HFM_WET_HeatCapacity_251201_R1</t>
  </si>
  <si>
    <t>133_White_Pine_HFM_WET_Conductivity_251202_R1</t>
  </si>
  <si>
    <t>133_White_Pine_HFM_WET_HeatCapacity_251204_R2</t>
  </si>
  <si>
    <t>133_White_Pine_HFM_WET_Conductivity_251205_R2</t>
  </si>
  <si>
    <t>133_White_Pine_HFM_WET_HeatCapacity_251209_R3</t>
  </si>
  <si>
    <t>133_White_Pine_HFM_WET_Conductivity_251211_R3</t>
  </si>
  <si>
    <t>133_White_Pine_HFM_DRY_HeatCapacity_251222_R1</t>
  </si>
  <si>
    <t>133_White_Pine_HFM_DRY_Conductivity_251222_R1</t>
  </si>
  <si>
    <t>133_White_Pine_HFM_DRY_HeatCapacity_2512292_R2</t>
  </si>
  <si>
    <t>133_White_Pine_HFM_DRY_Conductivity_251230_R2</t>
  </si>
  <si>
    <t>133_White_Pine_HFM_DRY_HeatCapacity_260105_R3</t>
  </si>
  <si>
    <t>133_White_Pine_HFM_DRY_Conductivity_260106_R3</t>
  </si>
  <si>
    <t>Test</t>
  </si>
  <si>
    <t>Mass</t>
  </si>
  <si>
    <t>Volume</t>
  </si>
  <si>
    <t>Density</t>
  </si>
  <si>
    <t>Cp(25 C)</t>
  </si>
  <si>
    <t>Cp(35 C)</t>
  </si>
  <si>
    <t>Cp(45 C)</t>
  </si>
  <si>
    <t>k(15 C)</t>
  </si>
  <si>
    <t>k(65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</si>
</sst>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5">
    <xf numFmtId="0" fontId="0" fillId="0" borderId="0" xfId="0"/>
    <xf numFmtId="0" fontId="1" fillId="0" borderId="0" xfId="1" applyAlignment="1">
      <alignment wrapText="1"/>
    </xf>
    <xf numFmtId="165" fontId="1" fillId="0" borderId="0" xfId="1" applyNumberFormat="1" applyAlignment="1">
      <alignment horizontal="center" wrapText="1"/>
    </xf>
    <xf numFmtId="1" fontId="1" fillId="0" borderId="0" xfId="1" applyNumberFormat="1" applyAlignment="1">
      <alignment horizontal="center" wrapText="1"/>
    </xf>
    <xf numFmtId="166" fontId="0" fillId="0" borderId="0" xfId="0" applyNumberFormat="1"/>
  </cellXfs>
  <cellStyles count="2">
    <cellStyle name="Excel Built-in Normal" xfId="1" xr:uid="{506BFE48-29CE-4890-B908-CB58E0EAD76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3EBD-888B-48F2-B8CD-52DE6E1127C3}">
  <dimension ref="A1:H17"/>
  <sheetViews>
    <sheetView tabSelected="1" workbookViewId="0">
      <selection activeCell="A23" sqref="A23"/>
    </sheetView>
  </sheetViews>
  <sheetFormatPr defaultColWidth="57.28515625" defaultRowHeight="15" x14ac:dyDescent="0.25"/>
  <cols>
    <col min="2" max="4" width="11.28515625" customWidth="1"/>
    <col min="5" max="5" width="12.42578125" customWidth="1"/>
    <col min="6" max="6" width="13.28515625" customWidth="1"/>
    <col min="7" max="7" width="14.7109375" customWidth="1"/>
    <col min="8" max="8" width="13.4257812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8" x14ac:dyDescent="0.25">
      <c r="A2" s="1" t="s">
        <v>0</v>
      </c>
      <c r="B2" s="2">
        <v>394.71</v>
      </c>
      <c r="C2" s="2">
        <v>1018.8058254570001</v>
      </c>
      <c r="D2" s="3">
        <v>387.42416870550096</v>
      </c>
      <c r="E2" s="4">
        <f>699143/D2/1000</f>
        <v>1.804593147443651</v>
      </c>
      <c r="F2" s="4">
        <f>730029/D2/1000</f>
        <v>1.8843145548695204</v>
      </c>
      <c r="G2" s="4">
        <f>762963/D2/1000</f>
        <v>1.9693221580607263</v>
      </c>
    </row>
    <row r="3" spans="1:8" x14ac:dyDescent="0.25">
      <c r="A3" s="1" t="s">
        <v>2</v>
      </c>
      <c r="B3" s="2">
        <v>389.83</v>
      </c>
      <c r="C3" s="2">
        <v>1013.09034086025</v>
      </c>
      <c r="D3" s="3">
        <v>384.79292939362335</v>
      </c>
      <c r="E3" s="4">
        <f>682359/D3/1000</f>
        <v>1.7733148087603812</v>
      </c>
      <c r="F3" s="4">
        <f>709818/D3/1000</f>
        <v>1.8446752676005977</v>
      </c>
      <c r="G3" s="4">
        <f>727737/D3/1000</f>
        <v>1.8912431710915418</v>
      </c>
    </row>
    <row r="4" spans="1:8" x14ac:dyDescent="0.25">
      <c r="A4" s="1" t="s">
        <v>4</v>
      </c>
      <c r="B4" s="2">
        <v>387.74</v>
      </c>
      <c r="C4" s="2">
        <v>1012.8758595903332</v>
      </c>
      <c r="D4" s="3">
        <v>382.81097957732447</v>
      </c>
      <c r="E4" s="4">
        <f>664806/D4/1000</f>
        <v>1.7366429790860138</v>
      </c>
      <c r="F4" s="4">
        <f>695619/D4/1000</f>
        <v>1.817134400815928</v>
      </c>
      <c r="G4" s="4">
        <f>711720/D4/1000</f>
        <v>1.8591943229680505</v>
      </c>
    </row>
    <row r="5" spans="1:8" x14ac:dyDescent="0.25">
      <c r="A5" s="1" t="s">
        <v>6</v>
      </c>
      <c r="B5" s="2">
        <v>367.98</v>
      </c>
      <c r="C5" s="2">
        <v>993.94390414133341</v>
      </c>
      <c r="D5" s="3">
        <v>370.2221005298054</v>
      </c>
      <c r="E5" s="4">
        <f>573562/D5/1000</f>
        <v>1.5492376040738938</v>
      </c>
      <c r="F5" s="4">
        <f>591552/D5/1000</f>
        <v>1.5978300570210719</v>
      </c>
      <c r="G5" s="4">
        <f>610902/D5/1000</f>
        <v>1.6500959805634787</v>
      </c>
    </row>
    <row r="6" spans="1:8" x14ac:dyDescent="0.25">
      <c r="A6" s="1" t="s">
        <v>8</v>
      </c>
      <c r="B6" s="2">
        <v>362.56</v>
      </c>
      <c r="C6" s="2">
        <v>988.82910240249998</v>
      </c>
      <c r="D6" s="3">
        <v>366.65587523578063</v>
      </c>
      <c r="E6" s="4">
        <f>513360/D6/1000</f>
        <v>1.4001139342711482</v>
      </c>
      <c r="F6" s="4">
        <f>540435/D6/1000</f>
        <v>1.4739570166507479</v>
      </c>
      <c r="G6" s="4">
        <f>573319/D6/1000</f>
        <v>1.5636432925868791</v>
      </c>
    </row>
    <row r="7" spans="1:8" x14ac:dyDescent="0.25">
      <c r="A7" s="1" t="s">
        <v>10</v>
      </c>
      <c r="B7" s="2">
        <v>360.7</v>
      </c>
      <c r="C7" s="2">
        <v>987.85350130677773</v>
      </c>
      <c r="D7" s="3">
        <v>365.13511317503009</v>
      </c>
      <c r="E7" s="4">
        <f>518590/D7/1000</f>
        <v>1.4202687752777428</v>
      </c>
      <c r="F7" s="4">
        <f>559348/D7/1000</f>
        <v>1.5318932083419559</v>
      </c>
      <c r="G7" s="4">
        <f>562522/D7/1000</f>
        <v>1.5405858809594988</v>
      </c>
    </row>
    <row r="8" spans="1:8" x14ac:dyDescent="0.25">
      <c r="E8" t="s">
        <v>19</v>
      </c>
      <c r="F8" t="s">
        <v>20</v>
      </c>
    </row>
    <row r="9" spans="1:8" x14ac:dyDescent="0.25">
      <c r="A9" s="1" t="s">
        <v>1</v>
      </c>
      <c r="B9" s="2">
        <v>392.72</v>
      </c>
      <c r="C9" s="2">
        <v>1015.9435346079999</v>
      </c>
      <c r="D9" s="3">
        <v>386.55691642501603</v>
      </c>
      <c r="E9" s="4">
        <v>0.11509999999999999</v>
      </c>
      <c r="F9" s="4">
        <v>0.12956666666666669</v>
      </c>
      <c r="G9" s="4"/>
    </row>
    <row r="10" spans="1:8" x14ac:dyDescent="0.25">
      <c r="A10" s="1" t="s">
        <v>3</v>
      </c>
      <c r="B10" s="2">
        <v>389.88</v>
      </c>
      <c r="C10" s="2">
        <v>1014.2704353849999</v>
      </c>
      <c r="D10" s="3">
        <v>384.39452280003422</v>
      </c>
      <c r="E10" s="4">
        <v>0.11163333333333332</v>
      </c>
      <c r="F10" s="4">
        <v>0.12529999999999999</v>
      </c>
      <c r="G10" s="4"/>
    </row>
    <row r="11" spans="1:8" x14ac:dyDescent="0.25">
      <c r="A11" s="1" t="s">
        <v>5</v>
      </c>
      <c r="B11" s="2">
        <v>388.5</v>
      </c>
      <c r="C11" s="2">
        <v>1013.1900589956665</v>
      </c>
      <c r="D11" s="3">
        <v>383.44237248547819</v>
      </c>
      <c r="E11" s="4">
        <v>0.11176666666666668</v>
      </c>
      <c r="F11" s="4">
        <v>0.125</v>
      </c>
      <c r="G11" s="4"/>
    </row>
    <row r="12" spans="1:8" x14ac:dyDescent="0.25">
      <c r="A12" s="1" t="s">
        <v>7</v>
      </c>
      <c r="B12" s="2">
        <v>367.95</v>
      </c>
      <c r="C12" s="2">
        <v>993.54357611922217</v>
      </c>
      <c r="D12" s="3">
        <v>370.34107898640082</v>
      </c>
      <c r="E12" s="4">
        <v>0.10146666666666666</v>
      </c>
      <c r="F12" s="4">
        <v>0.1113</v>
      </c>
      <c r="G12" s="4"/>
    </row>
    <row r="13" spans="1:8" x14ac:dyDescent="0.25">
      <c r="A13" s="1" t="s">
        <v>9</v>
      </c>
      <c r="B13" s="2">
        <v>362.23</v>
      </c>
      <c r="C13" s="2">
        <v>988.95961116863896</v>
      </c>
      <c r="D13" s="3">
        <v>366.27380522846448</v>
      </c>
      <c r="E13" s="4">
        <v>9.8799999999999999E-2</v>
      </c>
      <c r="F13" s="4">
        <v>0.10776666666666668</v>
      </c>
      <c r="G13" s="4"/>
    </row>
    <row r="14" spans="1:8" x14ac:dyDescent="0.25">
      <c r="A14" s="1" t="s">
        <v>11</v>
      </c>
      <c r="B14" s="2">
        <v>360.9</v>
      </c>
      <c r="C14" s="2">
        <v>986.87010651875005</v>
      </c>
      <c r="D14" s="3">
        <v>365.70162336064544</v>
      </c>
      <c r="E14" s="4">
        <v>9.6733333333333338E-2</v>
      </c>
      <c r="F14" s="4">
        <v>0.10563333333333332</v>
      </c>
      <c r="G14" s="4"/>
    </row>
    <row r="16" spans="1:8" x14ac:dyDescent="0.25">
      <c r="B16" s="3"/>
      <c r="C16" s="4"/>
      <c r="D16" s="4"/>
      <c r="E16" s="4"/>
      <c r="F16" s="4"/>
      <c r="G16" s="4"/>
      <c r="H16" s="4"/>
    </row>
    <row r="17" spans="2:8" x14ac:dyDescent="0.25">
      <c r="B17" s="3"/>
      <c r="C17" s="4"/>
      <c r="D17" s="4"/>
      <c r="E17" s="4"/>
      <c r="F17" s="4"/>
      <c r="G17" s="4"/>
      <c r="H17" s="4"/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845b3a13-66a3-49b9-8f43-e0febf4e797f}" enabled="1" method="Standard" siteId="{4d4200a5-c867-405e-b101-e2610b93dbd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HFM_Results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Stapko, John</dc:creator>
  <cp:lastModifiedBy>McKinnon, Mark</cp:lastModifiedBy>
  <dcterms:created xsi:type="dcterms:W3CDTF">2026-04-09T12:24:08Z</dcterms:created>
  <dcterms:modified xsi:type="dcterms:W3CDTF">2026-04-23T19:54:49Z</dcterms:modified>
</cp:coreProperties>
</file>